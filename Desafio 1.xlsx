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O.ME\BOOTCAMP EXCEL\"/>
    </mc:Choice>
  </mc:AlternateContent>
  <xr:revisionPtr revIDLastSave="0" documentId="8_{25B92624-13B5-4EB9-BDEC-99DC87545B9F}" xr6:coauthVersionLast="47" xr6:coauthVersionMax="47" xr10:uidLastSave="{00000000-0000-0000-0000-000000000000}"/>
  <bookViews>
    <workbookView xWindow="-120" yWindow="-120" windowWidth="20730" windowHeight="11760" xr2:uid="{5AAAFB5B-CBC3-49C2-AC72-FB9178FCEC35}"/>
  </bookViews>
  <sheets>
    <sheet name="PRINCIPAL" sheetId="1" r:id="rId1"/>
    <sheet name="Apoio" sheetId="2" r:id="rId2"/>
  </sheets>
  <definedNames>
    <definedName name="rendimento_carteira">PRINCIPAL!$C$12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J10" i="2"/>
  <c r="L7" i="2"/>
  <c r="L8" i="2"/>
  <c r="L9" i="2"/>
  <c r="L6" i="2"/>
  <c r="M9" i="2"/>
  <c r="M8" i="2"/>
  <c r="M7" i="2"/>
  <c r="M6" i="2"/>
  <c r="K10" i="2"/>
  <c r="I10" i="2"/>
  <c r="C48" i="1"/>
  <c r="C56" i="1" s="1"/>
  <c r="C57" i="1" s="1"/>
  <c r="C19" i="1"/>
  <c r="C20" i="1" s="1"/>
  <c r="A19" i="2"/>
  <c r="A20" i="2"/>
  <c r="A21" i="2"/>
  <c r="A22" i="2"/>
  <c r="A23" i="2"/>
  <c r="A18" i="2"/>
  <c r="A13" i="2"/>
  <c r="A14" i="2"/>
  <c r="A15" i="2"/>
  <c r="A16" i="2"/>
  <c r="A17" i="2"/>
  <c r="A12" i="2"/>
  <c r="A7" i="2"/>
  <c r="A8" i="2"/>
  <c r="A9" i="2"/>
  <c r="A10" i="2"/>
  <c r="A11" i="2"/>
  <c r="A6" i="2"/>
  <c r="C33" i="1"/>
  <c r="C13" i="1"/>
  <c r="C25" i="1"/>
  <c r="D25" i="1" s="1"/>
  <c r="C26" i="1"/>
  <c r="D26" i="1" s="1"/>
  <c r="C27" i="1"/>
  <c r="D27" i="1" s="1"/>
  <c r="C28" i="1"/>
  <c r="D28" i="1" s="1"/>
  <c r="C24" i="1"/>
  <c r="D24" i="1" s="1"/>
  <c r="M10" i="2" l="1"/>
  <c r="L10" i="2"/>
  <c r="C58" i="1"/>
  <c r="C59" i="1"/>
  <c r="C42" i="1"/>
  <c r="D42" i="1" s="1"/>
  <c r="C38" i="1"/>
  <c r="D38" i="1" s="1"/>
  <c r="C39" i="1"/>
  <c r="D39" i="1" s="1"/>
  <c r="C40" i="1"/>
  <c r="D40" i="1" s="1"/>
  <c r="C37" i="1"/>
  <c r="D37" i="1" s="1"/>
  <c r="C41" i="1"/>
  <c r="D41" i="1" s="1"/>
  <c r="C60" i="1" l="1"/>
  <c r="D43" i="1"/>
</calcChain>
</file>

<file path=xl/sharedStrings.xml><?xml version="1.0" encoding="utf-8"?>
<sst xmlns="http://schemas.openxmlformats.org/spreadsheetml/2006/main" count="102" uniqueCount="60">
  <si>
    <t>Quanto devo investir por mês?</t>
  </si>
  <si>
    <t>Por quanto anos?</t>
  </si>
  <si>
    <t>Qual a taxa de rendimento mensal?</t>
  </si>
  <si>
    <t>Quanto patrimônio aumentado terei?</t>
  </si>
  <si>
    <t>Qual o dividendo por mês?</t>
  </si>
  <si>
    <t>INVESTIMENTO MENSAL</t>
  </si>
  <si>
    <t>Quanto em 2 anos?</t>
  </si>
  <si>
    <t>Quantos em 5 anos?</t>
  </si>
  <si>
    <t>Quantos em 10 anos?</t>
  </si>
  <si>
    <t>Quantos em 20 anos?</t>
  </si>
  <si>
    <t>Quantos em 30 anos ?</t>
  </si>
  <si>
    <t>CONFIGURAÇÕES</t>
  </si>
  <si>
    <t>Rendimento Carteira</t>
  </si>
  <si>
    <t>Salário</t>
  </si>
  <si>
    <t>Sugestão de Investimentos</t>
  </si>
  <si>
    <t>CENÁRIOS</t>
  </si>
  <si>
    <t>Perfil</t>
  </si>
  <si>
    <t>AGRESSIVO</t>
  </si>
  <si>
    <t>CONSERVADOR</t>
  </si>
  <si>
    <t>Valor a ser investido por mês?</t>
  </si>
  <si>
    <t>TIPOS DE FII</t>
  </si>
  <si>
    <t>PERCENTUAL SUGERIDO</t>
  </si>
  <si>
    <t>VALORES</t>
  </si>
  <si>
    <t xml:space="preserve">PAPEL </t>
  </si>
  <si>
    <t>TIJOLO</t>
  </si>
  <si>
    <t>HÍBRIDOS</t>
  </si>
  <si>
    <t>FOFs</t>
  </si>
  <si>
    <t>DESENVOLVIMENTO</t>
  </si>
  <si>
    <t>HOTELARIA</t>
  </si>
  <si>
    <t>TOTAL</t>
  </si>
  <si>
    <t>PERFIL</t>
  </si>
  <si>
    <t>PERCENTUAL</t>
  </si>
  <si>
    <t>CHAVE</t>
  </si>
  <si>
    <t>MODERADO</t>
  </si>
  <si>
    <t>DATA DA COMPRA</t>
  </si>
  <si>
    <t>FIIs</t>
  </si>
  <si>
    <t>QUANTIDADE DE COTAS</t>
  </si>
  <si>
    <t>TIPO</t>
  </si>
  <si>
    <t>MXRF11</t>
  </si>
  <si>
    <t>PAPEL</t>
  </si>
  <si>
    <t>DIVIDEND YIED</t>
  </si>
  <si>
    <t>RENDIMENTO MENSAL</t>
  </si>
  <si>
    <t>SIMULAÇÃO</t>
  </si>
  <si>
    <t>FIIs escolhida</t>
  </si>
  <si>
    <t>Valor atual da Cota</t>
  </si>
  <si>
    <t xml:space="preserve">VALOR INVESTIDO POR MÊS </t>
  </si>
  <si>
    <t>VALOR INVESTIDO POR ANO</t>
  </si>
  <si>
    <t xml:space="preserve">DIVIDENDO POR MÊS </t>
  </si>
  <si>
    <t xml:space="preserve">DIVIDENDO POR ANO </t>
  </si>
  <si>
    <t xml:space="preserve">GANHO EM REAIS </t>
  </si>
  <si>
    <t>RESULTADO</t>
  </si>
  <si>
    <t>Tempo de Investimento em anos</t>
  </si>
  <si>
    <t>Quantidade de Cotas por mês</t>
  </si>
  <si>
    <t>DIVIDEN YIED</t>
  </si>
  <si>
    <t>CARTEIRA DE INVESTMENTOS</t>
  </si>
  <si>
    <t>COTA ATUAL</t>
  </si>
  <si>
    <t>RZAK11</t>
  </si>
  <si>
    <t>PSEC11</t>
  </si>
  <si>
    <t>CARTEIRA</t>
  </si>
  <si>
    <t>INVESTIMENTO EM QUANTOS ANOS: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</si>
</sst>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Cambria"/>
      <family val="1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Cambria"/>
      <family val="1"/>
    </font>
    <font>
      <b/>
      <sz val="16"/>
      <color theme="1"/>
      <name val="Cambria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1" fontId="1" fillId="0" borderId="0" xfId="0" applyNumberFormat="1" applyFont="1"/>
    <xf numFmtId="0" fontId="0" fillId="0" borderId="3" xfId="0" applyBorder="1"/>
    <xf numFmtId="164" fontId="5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8" borderId="8" xfId="0" applyFill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7" borderId="4" xfId="0" applyFill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5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8" fontId="0" fillId="0" borderId="0" xfId="0" applyNumberForma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4" fontId="0" fillId="0" borderId="3" xfId="0" applyNumberFormat="1" applyBorder="1"/>
    <xf numFmtId="0" fontId="4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/>
    </xf>
    <xf numFmtId="0" fontId="2" fillId="9" borderId="15" xfId="0" applyFont="1" applyFill="1" applyBorder="1"/>
    <xf numFmtId="0" fontId="2" fillId="9" borderId="18" xfId="0" applyFont="1" applyFill="1" applyBorder="1"/>
    <xf numFmtId="0" fontId="2" fillId="9" borderId="17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5" borderId="3" xfId="0" applyFont="1" applyFill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164" fontId="11" fillId="5" borderId="3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64" fontId="10" fillId="0" borderId="15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0" fontId="10" fillId="0" borderId="15" xfId="0" quotePrefix="1" applyNumberFormat="1" applyFont="1" applyBorder="1" applyAlignment="1">
      <alignment horizontal="center"/>
    </xf>
    <xf numFmtId="10" fontId="10" fillId="0" borderId="16" xfId="0" applyNumberFormat="1" applyFont="1" applyBorder="1" applyAlignment="1">
      <alignment horizontal="center"/>
    </xf>
    <xf numFmtId="8" fontId="10" fillId="0" borderId="15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4" fontId="10" fillId="0" borderId="16" xfId="0" applyNumberFormat="1" applyFont="1" applyBorder="1" applyAlignment="1">
      <alignment horizontal="center"/>
    </xf>
    <xf numFmtId="1" fontId="10" fillId="0" borderId="15" xfId="0" applyNumberFormat="1" applyFont="1" applyBorder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164" fontId="5" fillId="5" borderId="15" xfId="0" applyNumberFormat="1" applyFont="1" applyFill="1" applyBorder="1" applyAlignment="1">
      <alignment horizontal="center"/>
    </xf>
    <xf numFmtId="164" fontId="5" fillId="5" borderId="16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9" fontId="5" fillId="0" borderId="3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0" fontId="6" fillId="0" borderId="3" xfId="0" applyNumberFormat="1" applyFont="1" applyBorder="1" applyAlignment="1">
      <alignment horizontal="center"/>
    </xf>
    <xf numFmtId="8" fontId="6" fillId="3" borderId="3" xfId="0" applyNumberFormat="1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14" fontId="10" fillId="0" borderId="19" xfId="0" applyNumberFormat="1" applyFont="1" applyBorder="1" applyAlignment="1">
      <alignment horizontal="center"/>
    </xf>
    <xf numFmtId="14" fontId="10" fillId="0" borderId="20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14" fontId="2" fillId="2" borderId="21" xfId="0" applyNumberFormat="1" applyFont="1" applyFill="1" applyBorder="1" applyAlignment="1">
      <alignment horizontal="center"/>
    </xf>
    <xf numFmtId="14" fontId="2" fillId="2" borderId="22" xfId="0" applyNumberFormat="1" applyFont="1" applyFill="1" applyBorder="1" applyAlignment="1">
      <alignment horizontal="center"/>
    </xf>
    <xf numFmtId="14" fontId="2" fillId="2" borderId="23" xfId="0" applyNumberFormat="1" applyFont="1" applyFill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4</xdr:col>
      <xdr:colOff>133349</xdr:colOff>
      <xdr:row>8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AA0C3F-C4C9-9C17-344B-144B6D5F87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023" r="-1303" b="30761"/>
        <a:stretch>
          <a:fillRect/>
        </a:stretch>
      </xdr:blipFill>
      <xdr:spPr>
        <a:xfrm>
          <a:off x="638175" y="0"/>
          <a:ext cx="8077199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6EF0-EB7C-49D1-9909-CD28BF4E1559}">
  <dimension ref="A10:XFA60"/>
  <sheetViews>
    <sheetView showGridLines="0" tabSelected="1" topLeftCell="A42" workbookViewId="0">
      <selection activeCell="C51" sqref="C51:D51"/>
    </sheetView>
  </sheetViews>
  <sheetFormatPr defaultColWidth="9.140625" defaultRowHeight="15" x14ac:dyDescent="0.25"/>
  <cols>
    <col min="1" max="1" width="9.140625" customWidth="1"/>
    <col min="2" max="2" width="55.140625" style="1" bestFit="1" customWidth="1"/>
    <col min="3" max="3" width="46.140625" style="1" bestFit="1" customWidth="1"/>
    <col min="4" max="4" width="18.28515625" style="1" bestFit="1" customWidth="1"/>
    <col min="5" max="5" width="5.42578125" style="1" bestFit="1" customWidth="1"/>
    <col min="6" max="6" width="24.5703125" style="1" bestFit="1" customWidth="1"/>
    <col min="7" max="7" width="21.42578125" bestFit="1" customWidth="1"/>
    <col min="8" max="8" width="17.7109375" bestFit="1" customWidth="1"/>
    <col min="9" max="16376" width="9.140625" customWidth="1"/>
    <col min="16377" max="16377" width="40.28515625" customWidth="1"/>
    <col min="16378" max="16378" width="27.7109375" bestFit="1" customWidth="1"/>
    <col min="16379" max="16379" width="21.42578125" bestFit="1" customWidth="1"/>
    <col min="16380" max="16380" width="18.7109375" bestFit="1" customWidth="1"/>
    <col min="16381" max="16381" width="22.5703125" customWidth="1"/>
    <col min="16382" max="16384" width="20.7109375" customWidth="1"/>
  </cols>
  <sheetData>
    <row r="10" spans="2:4" ht="25.5" x14ac:dyDescent="0.25">
      <c r="B10" s="61" t="s">
        <v>11</v>
      </c>
      <c r="C10" s="61"/>
      <c r="D10" s="61"/>
    </row>
    <row r="11" spans="2:4" ht="20.25" x14ac:dyDescent="0.3">
      <c r="B11" s="28" t="s">
        <v>13</v>
      </c>
      <c r="C11" s="62">
        <v>1621</v>
      </c>
      <c r="D11" s="62"/>
    </row>
    <row r="12" spans="2:4" ht="20.25" x14ac:dyDescent="0.3">
      <c r="B12" s="28" t="s">
        <v>12</v>
      </c>
      <c r="C12" s="63">
        <v>0.01</v>
      </c>
      <c r="D12" s="63"/>
    </row>
    <row r="13" spans="2:4" ht="20.25" x14ac:dyDescent="0.3">
      <c r="B13" s="28" t="s">
        <v>14</v>
      </c>
      <c r="C13" s="62">
        <f>C11*30%</f>
        <v>486.29999999999995</v>
      </c>
      <c r="D13" s="62"/>
    </row>
    <row r="14" spans="2:4" ht="21" thickBot="1" x14ac:dyDescent="0.35">
      <c r="B14" s="5"/>
      <c r="C14" s="5"/>
      <c r="D14" s="5"/>
    </row>
    <row r="15" spans="2:4" ht="39.75" customHeight="1" x14ac:dyDescent="0.25">
      <c r="B15" s="64" t="s">
        <v>5</v>
      </c>
      <c r="C15" s="65"/>
      <c r="D15" s="66"/>
    </row>
    <row r="16" spans="2:4" ht="20.25" x14ac:dyDescent="0.3">
      <c r="B16" s="28" t="s">
        <v>0</v>
      </c>
      <c r="C16" s="67">
        <v>100</v>
      </c>
      <c r="D16" s="67"/>
    </row>
    <row r="17" spans="1:4" ht="20.25" x14ac:dyDescent="0.3">
      <c r="B17" s="28" t="s">
        <v>1</v>
      </c>
      <c r="C17" s="68">
        <v>10</v>
      </c>
      <c r="D17" s="68"/>
    </row>
    <row r="18" spans="1:4" ht="20.25" x14ac:dyDescent="0.3">
      <c r="B18" s="28" t="s">
        <v>2</v>
      </c>
      <c r="C18" s="69">
        <v>1.0789999999999999E-2</v>
      </c>
      <c r="D18" s="69"/>
    </row>
    <row r="19" spans="1:4" ht="20.25" x14ac:dyDescent="0.3">
      <c r="B19" s="29" t="s">
        <v>3</v>
      </c>
      <c r="C19" s="70">
        <f>FV(C18,C17*12,C16*-1)</f>
        <v>24328.421253017219</v>
      </c>
      <c r="D19" s="70"/>
    </row>
    <row r="20" spans="1:4" ht="20.25" x14ac:dyDescent="0.3">
      <c r="B20" s="29" t="s">
        <v>4</v>
      </c>
      <c r="C20" s="70">
        <f>C19*C12</f>
        <v>243.2842125301722</v>
      </c>
      <c r="D20" s="70"/>
    </row>
    <row r="21" spans="1:4" ht="20.25" x14ac:dyDescent="0.3">
      <c r="B21" s="5"/>
      <c r="C21" s="5"/>
      <c r="D21" s="5"/>
    </row>
    <row r="22" spans="1:4" ht="20.25" x14ac:dyDescent="0.3">
      <c r="B22" s="5"/>
      <c r="C22" s="5"/>
      <c r="D22" s="5"/>
    </row>
    <row r="23" spans="1:4" ht="25.5" x14ac:dyDescent="0.25">
      <c r="B23" s="61" t="s">
        <v>15</v>
      </c>
      <c r="C23" s="61"/>
      <c r="D23" s="61"/>
    </row>
    <row r="24" spans="1:4" ht="20.25" x14ac:dyDescent="0.3">
      <c r="A24" s="2">
        <v>2</v>
      </c>
      <c r="B24" s="28" t="s">
        <v>6</v>
      </c>
      <c r="C24" s="6">
        <f>FV($C$18,$A24*12,$C$16*-1)</f>
        <v>2722.7627297645217</v>
      </c>
      <c r="D24" s="4">
        <f>C24*$C$12</f>
        <v>27.227627297645217</v>
      </c>
    </row>
    <row r="25" spans="1:4" ht="20.25" x14ac:dyDescent="0.3">
      <c r="A25" s="2">
        <v>5</v>
      </c>
      <c r="B25" s="28" t="s">
        <v>7</v>
      </c>
      <c r="C25" s="6">
        <f>FV($C$18,$A25*12,$C$16*-1)</f>
        <v>8377.6913998487635</v>
      </c>
      <c r="D25" s="4">
        <f>C25*$C$12</f>
        <v>83.776913998487643</v>
      </c>
    </row>
    <row r="26" spans="1:4" ht="20.25" x14ac:dyDescent="0.3">
      <c r="A26" s="2">
        <v>10</v>
      </c>
      <c r="B26" s="28" t="s">
        <v>8</v>
      </c>
      <c r="C26" s="6">
        <f>FV($C$18,$A26*12,$C$16*-1)</f>
        <v>24328.421253017219</v>
      </c>
      <c r="D26" s="4">
        <f>C26*$C$12</f>
        <v>243.2842125301722</v>
      </c>
    </row>
    <row r="27" spans="1:4" ht="20.25" x14ac:dyDescent="0.3">
      <c r="A27" s="2">
        <v>20</v>
      </c>
      <c r="B27" s="29" t="s">
        <v>9</v>
      </c>
      <c r="C27" s="6">
        <f>FV($C$18,$A27*12,$C$16*-1)</f>
        <v>112519.84000970806</v>
      </c>
      <c r="D27" s="4">
        <f>C27*$C$12</f>
        <v>1125.1984000970806</v>
      </c>
    </row>
    <row r="28" spans="1:4" ht="20.25" x14ac:dyDescent="0.3">
      <c r="A28" s="2">
        <v>30</v>
      </c>
      <c r="B28" s="29" t="s">
        <v>10</v>
      </c>
      <c r="C28" s="6">
        <f>FV($C$18,$A28*12,$C$16*-1)</f>
        <v>432216.96550047147</v>
      </c>
      <c r="D28" s="4">
        <f>C28*$C$12</f>
        <v>4322.1696550047145</v>
      </c>
    </row>
    <row r="32" spans="1:4" ht="25.5" x14ac:dyDescent="0.35">
      <c r="B32" s="79" t="s">
        <v>16</v>
      </c>
      <c r="C32" s="80" t="s">
        <v>18</v>
      </c>
      <c r="D32" s="80"/>
    </row>
    <row r="33" spans="2:4" ht="20.25" x14ac:dyDescent="0.3">
      <c r="B33" s="49" t="s">
        <v>19</v>
      </c>
      <c r="C33" s="59">
        <f>C16</f>
        <v>100</v>
      </c>
      <c r="D33" s="60"/>
    </row>
    <row r="35" spans="2:4" ht="18" x14ac:dyDescent="0.25">
      <c r="B35" s="45"/>
      <c r="C35" s="45"/>
      <c r="D35" s="45"/>
    </row>
    <row r="36" spans="2:4" ht="25.5" x14ac:dyDescent="0.35">
      <c r="B36" s="81" t="s">
        <v>20</v>
      </c>
      <c r="C36" s="81" t="s">
        <v>21</v>
      </c>
      <c r="D36" s="81" t="s">
        <v>22</v>
      </c>
    </row>
    <row r="37" spans="2:4" ht="18" x14ac:dyDescent="0.25">
      <c r="B37" s="37" t="s">
        <v>23</v>
      </c>
      <c r="C37" s="47">
        <f>VLOOKUP($C$32&amp;"-"&amp;B37,Apoio!$A:$D,4,FALSE)</f>
        <v>0.3</v>
      </c>
      <c r="D37" s="36">
        <f t="shared" ref="D37:D42" si="0">C37*$C$33</f>
        <v>30</v>
      </c>
    </row>
    <row r="38" spans="2:4" ht="18" x14ac:dyDescent="0.25">
      <c r="B38" s="37" t="s">
        <v>24</v>
      </c>
      <c r="C38" s="47">
        <f>VLOOKUP($C$32&amp;"-"&amp;B38,Apoio!$A:$D,4,FALSE)</f>
        <v>0.5</v>
      </c>
      <c r="D38" s="36">
        <f t="shared" si="0"/>
        <v>50</v>
      </c>
    </row>
    <row r="39" spans="2:4" ht="18" x14ac:dyDescent="0.25">
      <c r="B39" s="37" t="s">
        <v>25</v>
      </c>
      <c r="C39" s="47">
        <f>VLOOKUP($C$32&amp;"-"&amp;B39,Apoio!$A:$D,4,FALSE)</f>
        <v>0.1</v>
      </c>
      <c r="D39" s="36">
        <f t="shared" si="0"/>
        <v>10</v>
      </c>
    </row>
    <row r="40" spans="2:4" ht="18" x14ac:dyDescent="0.25">
      <c r="B40" s="37" t="s">
        <v>26</v>
      </c>
      <c r="C40" s="47">
        <f>VLOOKUP($C$32&amp;"-"&amp;B40,Apoio!$A:$D,4,FALSE)</f>
        <v>0.1</v>
      </c>
      <c r="D40" s="36">
        <f t="shared" si="0"/>
        <v>10</v>
      </c>
    </row>
    <row r="41" spans="2:4" ht="18" x14ac:dyDescent="0.25">
      <c r="B41" s="37" t="s">
        <v>27</v>
      </c>
      <c r="C41" s="47">
        <f>VLOOKUP($C$32&amp;"-"&amp;B41,Apoio!$A:$D,4,FALSE)</f>
        <v>0</v>
      </c>
      <c r="D41" s="36">
        <f t="shared" si="0"/>
        <v>0</v>
      </c>
    </row>
    <row r="42" spans="2:4" ht="18" x14ac:dyDescent="0.25">
      <c r="B42" s="37" t="s">
        <v>28</v>
      </c>
      <c r="C42" s="47">
        <f>VLOOKUP($C$32&amp;"-"&amp;B42,Apoio!$A:$D,4,FALSE)</f>
        <v>0</v>
      </c>
      <c r="D42" s="36">
        <f t="shared" si="0"/>
        <v>0</v>
      </c>
    </row>
    <row r="43" spans="2:4" ht="18" x14ac:dyDescent="0.25">
      <c r="B43" s="46"/>
      <c r="C43" s="46" t="s">
        <v>29</v>
      </c>
      <c r="D43" s="48">
        <f>SUM(D37:D42)</f>
        <v>100</v>
      </c>
    </row>
    <row r="45" spans="2:4" ht="15.75" thickBot="1" x14ac:dyDescent="0.3"/>
    <row r="46" spans="2:4" ht="26.25" thickBot="1" x14ac:dyDescent="0.4">
      <c r="B46" s="82" t="s">
        <v>42</v>
      </c>
      <c r="C46" s="83"/>
      <c r="D46" s="84"/>
    </row>
    <row r="47" spans="2:4" ht="18" x14ac:dyDescent="0.25">
      <c r="B47" s="76" t="s">
        <v>43</v>
      </c>
      <c r="C47" s="77" t="s">
        <v>38</v>
      </c>
      <c r="D47" s="78"/>
    </row>
    <row r="48" spans="2:4" ht="18" x14ac:dyDescent="0.25">
      <c r="B48" s="37" t="s">
        <v>44</v>
      </c>
      <c r="C48" s="50">
        <f>VLOOKUP(C47,Apoio!G:J,3,FALSE)</f>
        <v>9.5399999999999991</v>
      </c>
      <c r="D48" s="56"/>
    </row>
    <row r="49" spans="1:8 16380:16381" ht="18" x14ac:dyDescent="0.25">
      <c r="B49" s="37" t="s">
        <v>53</v>
      </c>
      <c r="C49" s="52">
        <f>VLOOKUP(C47,Apoio!G5:M10,4,FALSE)</f>
        <v>1.01E-2</v>
      </c>
      <c r="D49" s="53"/>
    </row>
    <row r="50" spans="1:8 16380:16381" ht="18" x14ac:dyDescent="0.25">
      <c r="B50" s="37" t="s">
        <v>52</v>
      </c>
      <c r="C50" s="57">
        <v>5</v>
      </c>
      <c r="D50" s="58"/>
    </row>
    <row r="51" spans="1:8 16380:16381" ht="18" x14ac:dyDescent="0.25">
      <c r="B51" s="37" t="s">
        <v>51</v>
      </c>
      <c r="C51" s="55">
        <v>1</v>
      </c>
      <c r="D51" s="51"/>
    </row>
    <row r="52" spans="1:8 16380:16381" s="33" customFormat="1" ht="15.75" x14ac:dyDescent="0.25">
      <c r="A52"/>
      <c r="B52" s="34"/>
      <c r="C52" s="34"/>
      <c r="D52" s="34"/>
      <c r="E52" s="34"/>
      <c r="F52" s="34"/>
      <c r="G52" s="34"/>
      <c r="H52" s="34"/>
    </row>
    <row r="53" spans="1:8 16380:16381" ht="15.75" thickBot="1" x14ac:dyDescent="0.3">
      <c r="B53" s="35"/>
      <c r="D53" s="27"/>
      <c r="E53" s="27"/>
      <c r="F53" s="27"/>
      <c r="G53" s="32"/>
      <c r="H53" s="32"/>
      <c r="XEZ53" s="26"/>
      <c r="XFA53" s="32"/>
    </row>
    <row r="54" spans="1:8 16380:16381" ht="26.25" thickBot="1" x14ac:dyDescent="0.4">
      <c r="B54" s="85" t="s">
        <v>50</v>
      </c>
      <c r="C54" s="86"/>
      <c r="D54" s="87"/>
      <c r="E54" s="27"/>
      <c r="F54" s="27"/>
      <c r="G54" s="32"/>
      <c r="H54" s="32"/>
      <c r="XEZ54" s="26"/>
      <c r="XFA54" s="32"/>
    </row>
    <row r="55" spans="1:8 16380:16381" ht="18" x14ac:dyDescent="0.25">
      <c r="B55" s="73" t="s">
        <v>34</v>
      </c>
      <c r="C55" s="74">
        <v>46024</v>
      </c>
      <c r="D55" s="75"/>
      <c r="E55" s="27"/>
      <c r="F55" s="27"/>
    </row>
    <row r="56" spans="1:8 16380:16381" ht="18" x14ac:dyDescent="0.25">
      <c r="B56" s="37" t="s">
        <v>45</v>
      </c>
      <c r="C56" s="50">
        <f>C48*C50</f>
        <v>47.699999999999996</v>
      </c>
      <c r="D56" s="51"/>
      <c r="E56" s="27"/>
      <c r="F56" s="27"/>
    </row>
    <row r="57" spans="1:8 16380:16381" ht="18" x14ac:dyDescent="0.25">
      <c r="B57" s="37" t="s">
        <v>46</v>
      </c>
      <c r="C57" s="50">
        <f>C56*(C51*12)</f>
        <v>572.4</v>
      </c>
      <c r="D57" s="51"/>
      <c r="E57" s="27"/>
      <c r="F57" s="27"/>
    </row>
    <row r="58" spans="1:8 16380:16381" ht="18" x14ac:dyDescent="0.25">
      <c r="B58" s="37" t="s">
        <v>47</v>
      </c>
      <c r="C58" s="50">
        <f>C56*C49</f>
        <v>0.48176999999999992</v>
      </c>
      <c r="D58" s="51"/>
      <c r="E58" s="27"/>
      <c r="F58" s="27"/>
    </row>
    <row r="59" spans="1:8 16380:16381" ht="18" x14ac:dyDescent="0.25">
      <c r="B59" s="37" t="s">
        <v>48</v>
      </c>
      <c r="C59" s="54">
        <f>FV(C49,C51*12,C56*-1)</f>
        <v>605.29203768826846</v>
      </c>
      <c r="D59" s="51"/>
      <c r="E59" s="27"/>
      <c r="F59" s="27"/>
    </row>
    <row r="60" spans="1:8 16380:16381" ht="18" x14ac:dyDescent="0.25">
      <c r="B60" s="37" t="s">
        <v>49</v>
      </c>
      <c r="C60" s="54">
        <f>C59-C57</f>
        <v>32.892037688268488</v>
      </c>
      <c r="D60" s="51"/>
      <c r="E60" s="27"/>
      <c r="F60" s="27"/>
    </row>
  </sheetData>
  <mergeCells count="26">
    <mergeCell ref="C32:D32"/>
    <mergeCell ref="C33:D33"/>
    <mergeCell ref="B23:D23"/>
    <mergeCell ref="B10:D10"/>
    <mergeCell ref="C11:D11"/>
    <mergeCell ref="C12:D12"/>
    <mergeCell ref="C13:D13"/>
    <mergeCell ref="B15:D15"/>
    <mergeCell ref="C16:D16"/>
    <mergeCell ref="C17:D17"/>
    <mergeCell ref="C18:D18"/>
    <mergeCell ref="C19:D19"/>
    <mergeCell ref="C20:D20"/>
    <mergeCell ref="B46:D46"/>
    <mergeCell ref="B54:D54"/>
    <mergeCell ref="C55:D55"/>
    <mergeCell ref="C56:D56"/>
    <mergeCell ref="C47:D47"/>
    <mergeCell ref="C48:D48"/>
    <mergeCell ref="C50:D50"/>
    <mergeCell ref="C51:D51"/>
    <mergeCell ref="C57:D57"/>
    <mergeCell ref="C58:D58"/>
    <mergeCell ref="C49:D49"/>
    <mergeCell ref="C59:D59"/>
    <mergeCell ref="C60:D60"/>
  </mergeCells>
  <phoneticPr fontId="9" type="noConversion"/>
  <dataValidations count="1">
    <dataValidation type="list" allowBlank="1" showInputMessage="1" showErrorMessage="1" sqref="C32" xr:uid="{3D6E4AC9-EB1E-4B71-9CFB-5C34ADA09F8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F47DD6-A349-4928-8845-8EDD7E7FF5FC}">
          <x14:formula1>
            <xm:f>Apoio!$G$6:$G$24</xm:f>
          </x14:formula1>
          <xm:sqref>C53 C61:C62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7EBF-ED43-4552-8E18-60CBE9130C8D}">
  <dimension ref="A3:M23"/>
  <sheetViews>
    <sheetView topLeftCell="D1" workbookViewId="0">
      <selection activeCell="F1" sqref="F1:M1048576"/>
    </sheetView>
  </sheetViews>
  <sheetFormatPr defaultRowHeight="15" x14ac:dyDescent="0.25"/>
  <cols>
    <col min="1" max="1" width="33" bestFit="1" customWidth="1"/>
    <col min="2" max="2" width="18.5703125" customWidth="1"/>
    <col min="3" max="3" width="18.5703125" bestFit="1" customWidth="1"/>
    <col min="4" max="4" width="13.140625" style="1" bestFit="1" customWidth="1"/>
    <col min="6" max="6" width="17" bestFit="1" customWidth="1"/>
    <col min="7" max="7" width="18.28515625" bestFit="1" customWidth="1"/>
    <col min="8" max="8" width="6.28515625" bestFit="1" customWidth="1"/>
    <col min="9" max="9" width="13.140625" style="27" bestFit="1" customWidth="1"/>
    <col min="10" max="10" width="15" style="1" bestFit="1" customWidth="1"/>
    <col min="11" max="11" width="23" style="1" bestFit="1" customWidth="1"/>
    <col min="12" max="12" width="23" style="1" customWidth="1"/>
    <col min="13" max="13" width="23.7109375" style="27" bestFit="1" customWidth="1"/>
  </cols>
  <sheetData>
    <row r="3" spans="1:13" ht="25.5" x14ac:dyDescent="0.35">
      <c r="F3" s="71" t="s">
        <v>54</v>
      </c>
      <c r="G3" s="72"/>
      <c r="H3" s="72"/>
      <c r="I3" s="72"/>
      <c r="J3" s="72"/>
      <c r="K3" s="72"/>
      <c r="L3" s="72"/>
      <c r="M3" s="72"/>
    </row>
    <row r="4" spans="1:13" ht="25.5" x14ac:dyDescent="0.35">
      <c r="F4" s="41" t="s">
        <v>59</v>
      </c>
      <c r="G4" s="42"/>
      <c r="H4" s="42"/>
      <c r="I4" s="42"/>
      <c r="J4" s="43"/>
      <c r="K4" s="43">
        <v>1</v>
      </c>
      <c r="L4" s="43"/>
      <c r="M4" s="44"/>
    </row>
    <row r="5" spans="1:13" x14ac:dyDescent="0.25">
      <c r="A5" s="7" t="s">
        <v>32</v>
      </c>
      <c r="B5" s="7" t="s">
        <v>30</v>
      </c>
      <c r="C5" s="7" t="s">
        <v>20</v>
      </c>
      <c r="D5" s="7" t="s">
        <v>31</v>
      </c>
      <c r="F5" s="39" t="s">
        <v>34</v>
      </c>
      <c r="G5" s="39" t="s">
        <v>35</v>
      </c>
      <c r="H5" s="39" t="s">
        <v>37</v>
      </c>
      <c r="I5" s="40" t="s">
        <v>55</v>
      </c>
      <c r="J5" s="39" t="s">
        <v>40</v>
      </c>
      <c r="K5" s="39" t="s">
        <v>36</v>
      </c>
      <c r="L5" s="39" t="s">
        <v>5</v>
      </c>
      <c r="M5" s="25" t="s">
        <v>41</v>
      </c>
    </row>
    <row r="6" spans="1:13" x14ac:dyDescent="0.25">
      <c r="A6" s="9" t="str">
        <f t="shared" ref="A6:A11" si="0">$B$6&amp;"-"&amp;C6</f>
        <v xml:space="preserve">CONSERVADOR-PAPEL </v>
      </c>
      <c r="B6" s="9" t="s">
        <v>18</v>
      </c>
      <c r="C6" s="9" t="s">
        <v>23</v>
      </c>
      <c r="D6" s="8">
        <v>0.3</v>
      </c>
      <c r="F6" s="38">
        <v>46020</v>
      </c>
      <c r="G6" s="30" t="s">
        <v>38</v>
      </c>
      <c r="H6" s="3" t="s">
        <v>39</v>
      </c>
      <c r="I6" s="24">
        <v>9.5399999999999991</v>
      </c>
      <c r="J6" s="31">
        <v>1.01E-2</v>
      </c>
      <c r="K6" s="30">
        <v>10</v>
      </c>
      <c r="L6" s="24">
        <f>I6*K6</f>
        <v>95.399999999999991</v>
      </c>
      <c r="M6" s="24">
        <f>I6*J6*K6</f>
        <v>0.96353999999999984</v>
      </c>
    </row>
    <row r="7" spans="1:13" x14ac:dyDescent="0.25">
      <c r="A7" s="9" t="str">
        <f t="shared" si="0"/>
        <v>CONSERVADOR-TIJOLO</v>
      </c>
      <c r="B7" s="9" t="s">
        <v>18</v>
      </c>
      <c r="C7" s="9" t="s">
        <v>24</v>
      </c>
      <c r="D7" s="8">
        <v>0.5</v>
      </c>
      <c r="F7" s="38">
        <v>46024</v>
      </c>
      <c r="G7" s="30" t="s">
        <v>38</v>
      </c>
      <c r="H7" s="3" t="s">
        <v>39</v>
      </c>
      <c r="I7" s="24">
        <v>9.56</v>
      </c>
      <c r="J7" s="31">
        <v>1.01E-2</v>
      </c>
      <c r="K7" s="30">
        <v>10</v>
      </c>
      <c r="L7" s="24">
        <f>I7*K7</f>
        <v>95.600000000000009</v>
      </c>
      <c r="M7" s="24">
        <f>I7*J7*K7</f>
        <v>0.96555999999999997</v>
      </c>
    </row>
    <row r="8" spans="1:13" x14ac:dyDescent="0.25">
      <c r="A8" s="9" t="str">
        <f t="shared" si="0"/>
        <v>CONSERVADOR-HÍBRIDOS</v>
      </c>
      <c r="B8" s="9" t="s">
        <v>18</v>
      </c>
      <c r="C8" s="9" t="s">
        <v>25</v>
      </c>
      <c r="D8" s="8">
        <v>0.1</v>
      </c>
      <c r="F8" s="38">
        <v>46024</v>
      </c>
      <c r="G8" s="30" t="s">
        <v>56</v>
      </c>
      <c r="H8" s="3" t="s">
        <v>39</v>
      </c>
      <c r="I8" s="24">
        <v>82.45</v>
      </c>
      <c r="J8" s="31">
        <v>9.4000000000000004E-3</v>
      </c>
      <c r="K8" s="30">
        <v>1</v>
      </c>
      <c r="L8" s="24">
        <f>I8*K8</f>
        <v>82.45</v>
      </c>
      <c r="M8" s="24">
        <f>I8*J8*K8</f>
        <v>0.77503000000000011</v>
      </c>
    </row>
    <row r="9" spans="1:13" x14ac:dyDescent="0.25">
      <c r="A9" s="9" t="str">
        <f t="shared" si="0"/>
        <v>CONSERVADOR-FOFs</v>
      </c>
      <c r="B9" s="9" t="s">
        <v>18</v>
      </c>
      <c r="C9" s="9" t="s">
        <v>26</v>
      </c>
      <c r="D9" s="8">
        <v>0.1</v>
      </c>
      <c r="F9" s="38">
        <v>46024</v>
      </c>
      <c r="G9" s="30" t="s">
        <v>57</v>
      </c>
      <c r="H9" s="3" t="s">
        <v>39</v>
      </c>
      <c r="I9" s="24">
        <v>43.31</v>
      </c>
      <c r="J9" s="31">
        <v>8.6999999999999994E-3</v>
      </c>
      <c r="K9" s="30">
        <v>1</v>
      </c>
      <c r="L9" s="24">
        <f>I9*K9</f>
        <v>43.31</v>
      </c>
      <c r="M9" s="24">
        <f>I9*J9*K9</f>
        <v>0.37679699999999999</v>
      </c>
    </row>
    <row r="10" spans="1:13" x14ac:dyDescent="0.25">
      <c r="A10" s="9" t="str">
        <f t="shared" si="0"/>
        <v>CONSERVADOR-DESENVOLVIMENTO</v>
      </c>
      <c r="B10" s="9" t="s">
        <v>18</v>
      </c>
      <c r="C10" s="9" t="s">
        <v>27</v>
      </c>
      <c r="D10" s="8">
        <v>0</v>
      </c>
      <c r="F10" s="3"/>
      <c r="G10" s="30" t="s">
        <v>58</v>
      </c>
      <c r="H10" s="3"/>
      <c r="I10" s="24">
        <f>SUM(I6:I9)</f>
        <v>144.86000000000001</v>
      </c>
      <c r="J10" s="31">
        <f>AVERAGE(J6:J9)</f>
        <v>9.5750000000000002E-3</v>
      </c>
      <c r="K10" s="30">
        <f>SUM(K6:K9)</f>
        <v>22</v>
      </c>
      <c r="L10" s="24">
        <f>SUM(L6:L9)</f>
        <v>316.76</v>
      </c>
      <c r="M10" s="24">
        <f>SUM(M6:M9)</f>
        <v>3.080927</v>
      </c>
    </row>
    <row r="11" spans="1:13" ht="15.75" thickBot="1" x14ac:dyDescent="0.3">
      <c r="A11" s="12" t="str">
        <f t="shared" si="0"/>
        <v>CONSERVADOR-HOTELARIA</v>
      </c>
      <c r="B11" s="12" t="s">
        <v>18</v>
      </c>
      <c r="C11" s="12" t="s">
        <v>28</v>
      </c>
      <c r="D11" s="13">
        <v>0</v>
      </c>
    </row>
    <row r="12" spans="1:13" x14ac:dyDescent="0.25">
      <c r="A12" s="16" t="str">
        <f t="shared" ref="A12:A17" si="1">$B$12&amp;"-"&amp;C12</f>
        <v xml:space="preserve">MODERADO-PAPEL </v>
      </c>
      <c r="B12" s="17" t="s">
        <v>33</v>
      </c>
      <c r="C12" s="17" t="s">
        <v>23</v>
      </c>
      <c r="D12" s="18">
        <v>0.32</v>
      </c>
    </row>
    <row r="13" spans="1:13" x14ac:dyDescent="0.25">
      <c r="A13" s="19" t="str">
        <f t="shared" si="1"/>
        <v>MODERADO-TIJOLO</v>
      </c>
      <c r="B13" s="10" t="s">
        <v>33</v>
      </c>
      <c r="C13" s="10" t="s">
        <v>24</v>
      </c>
      <c r="D13" s="20">
        <v>0.35</v>
      </c>
    </row>
    <row r="14" spans="1:13" x14ac:dyDescent="0.25">
      <c r="A14" s="19" t="str">
        <f t="shared" si="1"/>
        <v>MODERADO-HÍBRIDOS</v>
      </c>
      <c r="B14" s="10" t="s">
        <v>33</v>
      </c>
      <c r="C14" s="10" t="s">
        <v>25</v>
      </c>
      <c r="D14" s="20">
        <v>0.08</v>
      </c>
    </row>
    <row r="15" spans="1:13" x14ac:dyDescent="0.25">
      <c r="A15" s="19" t="str">
        <f t="shared" si="1"/>
        <v>MODERADO-FOFs</v>
      </c>
      <c r="B15" s="10" t="s">
        <v>33</v>
      </c>
      <c r="C15" s="10" t="s">
        <v>26</v>
      </c>
      <c r="D15" s="20">
        <v>0.05</v>
      </c>
    </row>
    <row r="16" spans="1:13" x14ac:dyDescent="0.25">
      <c r="A16" s="19" t="str">
        <f t="shared" si="1"/>
        <v>MODERADO-DESENVOLVIMENTO</v>
      </c>
      <c r="B16" s="10" t="s">
        <v>33</v>
      </c>
      <c r="C16" s="10" t="s">
        <v>27</v>
      </c>
      <c r="D16" s="20">
        <v>0.1</v>
      </c>
    </row>
    <row r="17" spans="1:4" ht="15.75" thickBot="1" x14ac:dyDescent="0.3">
      <c r="A17" s="21" t="str">
        <f t="shared" si="1"/>
        <v>MODERADO-HOTELARIA</v>
      </c>
      <c r="B17" s="22" t="s">
        <v>33</v>
      </c>
      <c r="C17" s="22" t="s">
        <v>28</v>
      </c>
      <c r="D17" s="23">
        <v>0.1</v>
      </c>
    </row>
    <row r="18" spans="1:4" x14ac:dyDescent="0.25">
      <c r="A18" s="14" t="str">
        <f t="shared" ref="A18:A23" si="2">$B$18&amp;"-"&amp;C18</f>
        <v xml:space="preserve">AGRESSIVO-PAPEL </v>
      </c>
      <c r="B18" s="14" t="s">
        <v>17</v>
      </c>
      <c r="C18" s="14" t="s">
        <v>23</v>
      </c>
      <c r="D18" s="15">
        <v>0.5</v>
      </c>
    </row>
    <row r="19" spans="1:4" x14ac:dyDescent="0.25">
      <c r="A19" s="11" t="str">
        <f t="shared" si="2"/>
        <v>AGRESSIVO-TIJOLO</v>
      </c>
      <c r="B19" s="11" t="s">
        <v>17</v>
      </c>
      <c r="C19" s="11" t="s">
        <v>24</v>
      </c>
      <c r="D19" s="8">
        <v>0.1</v>
      </c>
    </row>
    <row r="20" spans="1:4" x14ac:dyDescent="0.25">
      <c r="A20" s="11" t="str">
        <f t="shared" si="2"/>
        <v>AGRESSIVO-HÍBRIDOS</v>
      </c>
      <c r="B20" s="11" t="s">
        <v>17</v>
      </c>
      <c r="C20" s="11" t="s">
        <v>25</v>
      </c>
      <c r="D20" s="8">
        <v>0.05</v>
      </c>
    </row>
    <row r="21" spans="1:4" x14ac:dyDescent="0.25">
      <c r="A21" s="11" t="str">
        <f t="shared" si="2"/>
        <v>AGRESSIVO-FOFs</v>
      </c>
      <c r="B21" s="11" t="s">
        <v>17</v>
      </c>
      <c r="C21" s="11" t="s">
        <v>26</v>
      </c>
      <c r="D21" s="8">
        <v>0.05</v>
      </c>
    </row>
    <row r="22" spans="1:4" x14ac:dyDescent="0.25">
      <c r="A22" s="11" t="str">
        <f t="shared" si="2"/>
        <v>AGRESSIVO-DESENVOLVIMENTO</v>
      </c>
      <c r="B22" s="11" t="s">
        <v>17</v>
      </c>
      <c r="C22" s="11" t="s">
        <v>27</v>
      </c>
      <c r="D22" s="8">
        <v>0.2</v>
      </c>
    </row>
    <row r="23" spans="1:4" x14ac:dyDescent="0.25">
      <c r="A23" s="11" t="str">
        <f t="shared" si="2"/>
        <v>AGRESSIVO-HOTELARIA</v>
      </c>
      <c r="B23" s="11" t="s">
        <v>17</v>
      </c>
      <c r="C23" s="11" t="s">
        <v>28</v>
      </c>
      <c r="D23" s="8">
        <v>0.1</v>
      </c>
    </row>
  </sheetData>
  <mergeCells count="1">
    <mergeCell ref="F3:M3"/>
  </mergeCells>
  <phoneticPr fontId="9" type="noConversion"/>
  <pageMargins left="0.511811024" right="0.511811024" top="0.78740157499999996" bottom="0.78740157499999996" header="0.31496062000000002" footer="0.31496062000000002"/>
  <ignoredErrors>
    <ignoredError sqref="J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PRINCIPAL</vt:lpstr>
      <vt:lpstr>Apoio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HH32195</dc:creator>
  <cp:lastModifiedBy>HH32195</cp:lastModifiedBy>
  <dcterms:created xsi:type="dcterms:W3CDTF">2025-12-29T02:38:43Z</dcterms:created>
  <dcterms:modified xsi:type="dcterms:W3CDTF">2026-01-03T02:40:55Z</dcterms:modified>
</cp:coreProperties>
</file>